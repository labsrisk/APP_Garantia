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silva\Desktop\Projetos_Github\APP_Garantia\Planilhas\"/>
    </mc:Choice>
  </mc:AlternateContent>
  <xr:revisionPtr revIDLastSave="0" documentId="13_ncr:1_{3E5F65D2-5B16-411D-8A7F-2F7017A24473}" xr6:coauthVersionLast="47" xr6:coauthVersionMax="47" xr10:uidLastSave="{00000000-0000-0000-0000-000000000000}"/>
  <bookViews>
    <workbookView xWindow="-120" yWindow="-120" windowWidth="20730" windowHeight="11160" xr2:uid="{8153AFCE-0077-4D85-9AD0-71228DF69B64}"/>
  </bookViews>
  <sheets>
    <sheet name="Riscos" sheetId="1" r:id="rId1"/>
    <sheet name="Fat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J11" i="2"/>
  <c r="K11" i="2"/>
  <c r="I11" i="2"/>
  <c r="J2" i="2"/>
  <c r="K2" i="2"/>
  <c r="I2" i="2"/>
  <c r="I3" i="1"/>
  <c r="I4" i="1"/>
  <c r="I5" i="1"/>
  <c r="I6" i="1"/>
  <c r="I7" i="1"/>
  <c r="I8" i="1"/>
  <c r="I9" i="1"/>
  <c r="I10" i="1"/>
  <c r="I11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<sst xmlns="http://schemas.openxmlformats.org/spreadsheetml/2006/main" count="43" uniqueCount="35">
  <si>
    <t>ID</t>
  </si>
  <si>
    <t>Demolition</t>
  </si>
  <si>
    <t>Structural Diaphragm Wall</t>
  </si>
  <si>
    <t>Excavation in soil</t>
  </si>
  <si>
    <t>Waterproofing+secondary</t>
  </si>
  <si>
    <t>Internal structures</t>
  </si>
  <si>
    <t>Buildings</t>
  </si>
  <si>
    <t>Assembly/Tests</t>
  </si>
  <si>
    <t>J</t>
  </si>
  <si>
    <t>I</t>
  </si>
  <si>
    <t>H</t>
  </si>
  <si>
    <t>G</t>
  </si>
  <si>
    <t>D</t>
  </si>
  <si>
    <t>N</t>
  </si>
  <si>
    <t>E</t>
  </si>
  <si>
    <t>C</t>
  </si>
  <si>
    <t>B</t>
  </si>
  <si>
    <t>K</t>
  </si>
  <si>
    <t>A</t>
  </si>
  <si>
    <t>P_Fator_Verdadeiro</t>
  </si>
  <si>
    <t>Fator</t>
  </si>
  <si>
    <t>Tempo_Info</t>
  </si>
  <si>
    <t>Descricao</t>
  </si>
  <si>
    <t>Inicio</t>
  </si>
  <si>
    <t>Final</t>
  </si>
  <si>
    <t>Conse_Min</t>
  </si>
  <si>
    <t>Conse_Provavel</t>
  </si>
  <si>
    <t>Conse_Max</t>
  </si>
  <si>
    <t>Prob_Min</t>
  </si>
  <si>
    <t>Prob_Max</t>
  </si>
  <si>
    <t>Final_Moni</t>
  </si>
  <si>
    <t>Inicio_Moni</t>
  </si>
  <si>
    <t>P_Max</t>
  </si>
  <si>
    <t>P_Min</t>
  </si>
  <si>
    <t>Conse_Med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</si>
</sst>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4" fontId="2" fillId="0" borderId="1" xfId="2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44" fontId="2" fillId="0" borderId="0" xfId="2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44" fontId="2" fillId="0" borderId="0" xfId="2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AF32-7B85-4B79-BCDE-C432D32C42AB}">
  <dimension ref="A1:I11"/>
  <sheetViews>
    <sheetView showGridLines="0" tabSelected="1" workbookViewId="0">
      <selection activeCell="I2" sqref="I2"/>
    </sheetView>
  </sheetViews>
  <sheetFormatPr defaultRowHeight="15" x14ac:dyDescent="0.2"/>
  <cols>
    <col min="1" max="1" width="5.140625" style="2" bestFit="1" customWidth="1"/>
    <col min="2" max="2" width="27.7109375" style="2" bestFit="1" customWidth="1"/>
    <col min="3" max="4" width="6.42578125" style="2" bestFit="1" customWidth="1"/>
    <col min="5" max="5" width="17.85546875" style="2" bestFit="1" customWidth="1"/>
    <col min="6" max="6" width="19.5703125" style="2" bestFit="1" customWidth="1"/>
    <col min="7" max="7" width="19.7109375" style="2" bestFit="1" customWidth="1"/>
    <col min="8" max="8" width="13" style="2" bestFit="1" customWidth="1"/>
    <col min="9" max="9" width="13" style="2" customWidth="1"/>
    <col min="10" max="16384" width="9.140625" style="2"/>
  </cols>
  <sheetData>
    <row r="1" spans="1:9" ht="15.75" x14ac:dyDescent="0.2">
      <c r="A1" s="3" t="s">
        <v>0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x14ac:dyDescent="0.2">
      <c r="A2" s="1">
        <v>1</v>
      </c>
      <c r="B2" s="1" t="s">
        <v>1</v>
      </c>
      <c r="C2" s="1">
        <v>26</v>
      </c>
      <c r="D2" s="1">
        <v>28.7</v>
      </c>
      <c r="E2" s="7">
        <f>F2/2</f>
        <v>121858.675</v>
      </c>
      <c r="F2" s="6">
        <v>243717.35</v>
      </c>
      <c r="G2" s="6">
        <f>F2*2</f>
        <v>487434.7</v>
      </c>
      <c r="H2" s="4">
        <v>0.5</v>
      </c>
      <c r="I2" s="4">
        <f>H2*1.6</f>
        <v>0.8</v>
      </c>
    </row>
    <row r="3" spans="1:9" x14ac:dyDescent="0.2">
      <c r="A3" s="1">
        <v>2</v>
      </c>
      <c r="B3" s="1" t="s">
        <v>2</v>
      </c>
      <c r="C3" s="1">
        <v>28.1</v>
      </c>
      <c r="D3" s="1">
        <v>31.6</v>
      </c>
      <c r="E3" s="7">
        <f t="shared" ref="E3:E11" si="0">F3/2</f>
        <v>203561.92800000001</v>
      </c>
      <c r="F3" s="6">
        <v>407123.85600000003</v>
      </c>
      <c r="G3" s="6">
        <f t="shared" ref="G3:G11" si="1">F3*2</f>
        <v>814247.71200000006</v>
      </c>
      <c r="H3" s="4">
        <v>0.02</v>
      </c>
      <c r="I3" s="4">
        <f t="shared" ref="I3:I11" si="2">H3*1.6</f>
        <v>3.2000000000000001E-2</v>
      </c>
    </row>
    <row r="4" spans="1:9" x14ac:dyDescent="0.2">
      <c r="A4" s="1">
        <v>3</v>
      </c>
      <c r="B4" s="1" t="s">
        <v>3</v>
      </c>
      <c r="C4" s="1">
        <v>30.2</v>
      </c>
      <c r="D4" s="1">
        <v>34</v>
      </c>
      <c r="E4" s="7">
        <f t="shared" si="0"/>
        <v>54279.53</v>
      </c>
      <c r="F4" s="6">
        <v>108559.06</v>
      </c>
      <c r="G4" s="6">
        <f t="shared" si="1"/>
        <v>217118.12</v>
      </c>
      <c r="H4" s="4">
        <v>0.02</v>
      </c>
      <c r="I4" s="4">
        <f t="shared" si="2"/>
        <v>3.2000000000000001E-2</v>
      </c>
    </row>
    <row r="5" spans="1:9" x14ac:dyDescent="0.2">
      <c r="A5" s="1">
        <v>4</v>
      </c>
      <c r="B5" s="1" t="s">
        <v>4</v>
      </c>
      <c r="C5" s="1">
        <v>34</v>
      </c>
      <c r="D5" s="1">
        <v>49</v>
      </c>
      <c r="E5" s="7">
        <f t="shared" si="0"/>
        <v>36524.340000000004</v>
      </c>
      <c r="F5" s="6">
        <v>73048.680000000008</v>
      </c>
      <c r="G5" s="6">
        <f t="shared" si="1"/>
        <v>146097.36000000002</v>
      </c>
      <c r="H5" s="4">
        <v>0.02</v>
      </c>
      <c r="I5" s="4">
        <f t="shared" si="2"/>
        <v>3.2000000000000001E-2</v>
      </c>
    </row>
    <row r="6" spans="1:9" x14ac:dyDescent="0.2">
      <c r="A6" s="1">
        <v>5</v>
      </c>
      <c r="B6" s="1" t="s">
        <v>5</v>
      </c>
      <c r="C6" s="1">
        <v>40.4</v>
      </c>
      <c r="D6" s="1">
        <v>53.7</v>
      </c>
      <c r="E6" s="7">
        <f t="shared" si="0"/>
        <v>17402.930600000003</v>
      </c>
      <c r="F6" s="6">
        <v>34805.861200000007</v>
      </c>
      <c r="G6" s="6">
        <f t="shared" si="1"/>
        <v>69611.722400000013</v>
      </c>
      <c r="H6" s="4">
        <v>1E-3</v>
      </c>
      <c r="I6" s="4">
        <f t="shared" si="2"/>
        <v>1.6000000000000001E-3</v>
      </c>
    </row>
    <row r="7" spans="1:9" x14ac:dyDescent="0.2">
      <c r="A7" s="1">
        <v>6</v>
      </c>
      <c r="B7" s="1" t="s">
        <v>6</v>
      </c>
      <c r="C7" s="1">
        <v>43</v>
      </c>
      <c r="D7" s="1">
        <v>57.5</v>
      </c>
      <c r="E7" s="7">
        <f t="shared" si="0"/>
        <v>44786.82</v>
      </c>
      <c r="F7" s="6">
        <v>89573.64</v>
      </c>
      <c r="G7" s="6">
        <f t="shared" si="1"/>
        <v>179147.28</v>
      </c>
      <c r="H7" s="4">
        <v>0.02</v>
      </c>
      <c r="I7" s="4">
        <f t="shared" si="2"/>
        <v>3.2000000000000001E-2</v>
      </c>
    </row>
    <row r="8" spans="1:9" x14ac:dyDescent="0.2">
      <c r="A8" s="1">
        <v>7</v>
      </c>
      <c r="B8" s="1" t="s">
        <v>7</v>
      </c>
      <c r="C8" s="1">
        <v>47</v>
      </c>
      <c r="D8" s="1">
        <v>61.5</v>
      </c>
      <c r="E8" s="7">
        <f t="shared" si="0"/>
        <v>68009.184999999998</v>
      </c>
      <c r="F8" s="6">
        <v>136018.37</v>
      </c>
      <c r="G8" s="6">
        <f t="shared" si="1"/>
        <v>272036.74</v>
      </c>
      <c r="H8" s="4">
        <v>0.02</v>
      </c>
      <c r="I8" s="4">
        <f t="shared" si="2"/>
        <v>3.2000000000000001E-2</v>
      </c>
    </row>
    <row r="9" spans="1:9" x14ac:dyDescent="0.2">
      <c r="A9" s="1">
        <v>8</v>
      </c>
      <c r="B9" s="1" t="s">
        <v>1</v>
      </c>
      <c r="C9" s="1">
        <v>22.9</v>
      </c>
      <c r="D9" s="1">
        <v>25.8</v>
      </c>
      <c r="E9" s="7">
        <f t="shared" si="0"/>
        <v>144614.70000000001</v>
      </c>
      <c r="F9" s="6">
        <v>289229.40000000002</v>
      </c>
      <c r="G9" s="6">
        <f t="shared" si="1"/>
        <v>578458.80000000005</v>
      </c>
      <c r="H9" s="4">
        <v>0.5</v>
      </c>
      <c r="I9" s="4">
        <f t="shared" si="2"/>
        <v>0.8</v>
      </c>
    </row>
    <row r="10" spans="1:9" x14ac:dyDescent="0.2">
      <c r="A10" s="1">
        <v>9</v>
      </c>
      <c r="B10" s="1" t="s">
        <v>2</v>
      </c>
      <c r="C10" s="1">
        <v>24.7</v>
      </c>
      <c r="D10" s="1">
        <v>28.1</v>
      </c>
      <c r="E10" s="7">
        <f t="shared" si="0"/>
        <v>280686.3395</v>
      </c>
      <c r="F10" s="6">
        <v>561372.679</v>
      </c>
      <c r="G10" s="6">
        <f t="shared" si="1"/>
        <v>1122745.358</v>
      </c>
      <c r="H10" s="4">
        <v>0.02</v>
      </c>
      <c r="I10" s="4">
        <f t="shared" si="2"/>
        <v>3.2000000000000001E-2</v>
      </c>
    </row>
    <row r="11" spans="1:9" x14ac:dyDescent="0.2">
      <c r="A11" s="1">
        <v>10</v>
      </c>
      <c r="B11" s="1" t="s">
        <v>3</v>
      </c>
      <c r="C11" s="1">
        <v>26.7</v>
      </c>
      <c r="D11" s="1">
        <v>31.5</v>
      </c>
      <c r="E11" s="7">
        <f t="shared" si="0"/>
        <v>65773.281600000002</v>
      </c>
      <c r="F11" s="6">
        <v>131546.5632</v>
      </c>
      <c r="G11" s="6">
        <f t="shared" si="1"/>
        <v>263093.12640000001</v>
      </c>
      <c r="H11" s="4">
        <v>0.02</v>
      </c>
      <c r="I11" s="4">
        <f t="shared" si="2"/>
        <v>3.2000000000000001E-2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2C1F-2EBB-479C-9EFB-19B13B1DE5BE}">
  <dimension ref="A1:M15"/>
  <sheetViews>
    <sheetView showGridLines="0" workbookViewId="0">
      <selection activeCell="F2" sqref="F2"/>
    </sheetView>
  </sheetViews>
  <sheetFormatPr defaultRowHeight="15" x14ac:dyDescent="0.25"/>
  <cols>
    <col min="1" max="1" width="3.85546875" bestFit="1" customWidth="1"/>
    <col min="2" max="2" width="14.42578125" bestFit="1" customWidth="1"/>
    <col min="3" max="3" width="14.42578125" customWidth="1"/>
    <col min="4" max="4" width="12.28515625" bestFit="1" customWidth="1"/>
    <col min="5" max="5" width="7" bestFit="1" customWidth="1"/>
    <col min="6" max="6" width="23.5703125" bestFit="1" customWidth="1"/>
    <col min="7" max="7" width="21.7109375" bestFit="1" customWidth="1"/>
    <col min="8" max="8" width="29.5703125" bestFit="1" customWidth="1"/>
    <col min="9" max="9" width="27.42578125" bestFit="1" customWidth="1"/>
    <col min="10" max="10" width="33.28515625" bestFit="1" customWidth="1"/>
    <col min="11" max="11" width="28" bestFit="1" customWidth="1"/>
    <col min="12" max="12" width="9.42578125" bestFit="1" customWidth="1"/>
  </cols>
  <sheetData>
    <row r="1" spans="1:13" ht="15.75" x14ac:dyDescent="0.25">
      <c r="A1" s="3" t="s">
        <v>0</v>
      </c>
      <c r="B1" s="3" t="s">
        <v>21</v>
      </c>
      <c r="C1" s="3" t="s">
        <v>31</v>
      </c>
      <c r="D1" s="3" t="s">
        <v>30</v>
      </c>
      <c r="E1" s="5" t="s">
        <v>20</v>
      </c>
      <c r="F1" s="5" t="s">
        <v>19</v>
      </c>
      <c r="G1" s="3" t="s">
        <v>33</v>
      </c>
      <c r="H1" s="3" t="s">
        <v>32</v>
      </c>
      <c r="I1" s="3" t="s">
        <v>25</v>
      </c>
      <c r="J1" s="3" t="s">
        <v>34</v>
      </c>
      <c r="K1" s="3" t="s">
        <v>27</v>
      </c>
    </row>
    <row r="2" spans="1:13" x14ac:dyDescent="0.25">
      <c r="A2" s="1">
        <v>1</v>
      </c>
      <c r="B2" s="1">
        <v>27</v>
      </c>
      <c r="C2" s="1">
        <v>28</v>
      </c>
      <c r="D2" s="1">
        <v>32</v>
      </c>
      <c r="E2" s="1" t="s">
        <v>18</v>
      </c>
      <c r="F2" s="1">
        <v>1</v>
      </c>
      <c r="G2" s="10">
        <v>0.65</v>
      </c>
      <c r="H2" s="4">
        <v>0.8</v>
      </c>
      <c r="I2" s="6">
        <f>Riscos!E2*1.5</f>
        <v>182788.01250000001</v>
      </c>
      <c r="J2" s="6">
        <f>Riscos!F2*1.5</f>
        <v>365576.02500000002</v>
      </c>
      <c r="K2" s="6">
        <f>Riscos!G2*1.5</f>
        <v>731152.05</v>
      </c>
      <c r="L2" s="11"/>
      <c r="M2" s="8"/>
    </row>
    <row r="3" spans="1:13" x14ac:dyDescent="0.25">
      <c r="A3" s="1">
        <v>1</v>
      </c>
      <c r="B3" s="1"/>
      <c r="C3" s="1">
        <v>0</v>
      </c>
      <c r="D3" s="1">
        <v>0</v>
      </c>
      <c r="E3" s="1" t="s">
        <v>17</v>
      </c>
      <c r="F3" s="1">
        <v>0</v>
      </c>
      <c r="G3" s="10">
        <v>0</v>
      </c>
      <c r="H3" s="4">
        <v>0</v>
      </c>
      <c r="I3" s="6">
        <v>0</v>
      </c>
      <c r="J3" s="6">
        <v>0</v>
      </c>
      <c r="K3" s="6">
        <v>0</v>
      </c>
    </row>
    <row r="4" spans="1:13" x14ac:dyDescent="0.25">
      <c r="A4" s="1">
        <v>2</v>
      </c>
      <c r="B4" s="1"/>
      <c r="C4" s="1">
        <v>0</v>
      </c>
      <c r="D4" s="1">
        <v>0</v>
      </c>
      <c r="E4" s="1" t="s">
        <v>16</v>
      </c>
      <c r="F4" s="1">
        <v>0</v>
      </c>
      <c r="G4" s="10">
        <v>0</v>
      </c>
      <c r="H4" s="4">
        <v>0</v>
      </c>
      <c r="I4" s="6">
        <v>0</v>
      </c>
      <c r="J4" s="6">
        <v>0</v>
      </c>
      <c r="K4" s="6">
        <v>0</v>
      </c>
    </row>
    <row r="5" spans="1:13" x14ac:dyDescent="0.25">
      <c r="A5" s="1">
        <v>2</v>
      </c>
      <c r="B5" s="1"/>
      <c r="C5" s="1">
        <v>0</v>
      </c>
      <c r="D5" s="1">
        <v>0</v>
      </c>
      <c r="E5" s="1" t="s">
        <v>15</v>
      </c>
      <c r="F5" s="1">
        <v>0</v>
      </c>
      <c r="G5" s="10">
        <v>0</v>
      </c>
      <c r="H5" s="4">
        <v>0</v>
      </c>
      <c r="I5" s="6">
        <v>0</v>
      </c>
      <c r="J5" s="6">
        <v>0</v>
      </c>
      <c r="K5" s="6">
        <v>0</v>
      </c>
    </row>
    <row r="6" spans="1:13" x14ac:dyDescent="0.25">
      <c r="A6" s="1">
        <v>3</v>
      </c>
      <c r="B6" s="1"/>
      <c r="C6" s="1">
        <v>0</v>
      </c>
      <c r="D6" s="1">
        <v>0</v>
      </c>
      <c r="E6" s="1" t="s">
        <v>15</v>
      </c>
      <c r="F6" s="1">
        <v>0</v>
      </c>
      <c r="G6" s="10">
        <v>0</v>
      </c>
      <c r="H6" s="4">
        <v>0</v>
      </c>
      <c r="I6" s="6">
        <v>0</v>
      </c>
      <c r="J6" s="6">
        <v>0</v>
      </c>
      <c r="K6" s="6">
        <v>0</v>
      </c>
    </row>
    <row r="7" spans="1:13" x14ac:dyDescent="0.25">
      <c r="A7" s="1">
        <v>4</v>
      </c>
      <c r="B7" s="1"/>
      <c r="C7" s="1">
        <v>0</v>
      </c>
      <c r="D7" s="1">
        <v>0</v>
      </c>
      <c r="E7" s="1" t="s">
        <v>12</v>
      </c>
      <c r="F7" s="1">
        <v>0</v>
      </c>
      <c r="G7" s="10">
        <v>0</v>
      </c>
      <c r="H7" s="4">
        <v>0</v>
      </c>
      <c r="I7" s="6">
        <v>0</v>
      </c>
      <c r="J7" s="6">
        <v>0</v>
      </c>
      <c r="K7" s="6">
        <v>0</v>
      </c>
    </row>
    <row r="8" spans="1:13" x14ac:dyDescent="0.25">
      <c r="A8" s="1">
        <v>5</v>
      </c>
      <c r="B8" s="1"/>
      <c r="C8" s="1">
        <v>0</v>
      </c>
      <c r="D8" s="1">
        <v>0</v>
      </c>
      <c r="E8" s="1" t="s">
        <v>14</v>
      </c>
      <c r="F8" s="1">
        <v>0</v>
      </c>
      <c r="G8" s="10">
        <v>0</v>
      </c>
      <c r="H8" s="4">
        <v>0</v>
      </c>
      <c r="I8" s="6">
        <v>0</v>
      </c>
      <c r="J8" s="6">
        <v>0</v>
      </c>
      <c r="K8" s="6">
        <v>0</v>
      </c>
    </row>
    <row r="9" spans="1:13" x14ac:dyDescent="0.25">
      <c r="A9" s="1">
        <v>6</v>
      </c>
      <c r="B9" s="1"/>
      <c r="C9" s="1">
        <v>0</v>
      </c>
      <c r="D9" s="1">
        <v>0</v>
      </c>
      <c r="E9" s="1" t="s">
        <v>13</v>
      </c>
      <c r="F9" s="1">
        <v>0</v>
      </c>
      <c r="G9" s="10">
        <v>0</v>
      </c>
      <c r="H9" s="4">
        <v>0</v>
      </c>
      <c r="I9" s="6">
        <v>0</v>
      </c>
      <c r="J9" s="6">
        <v>0</v>
      </c>
      <c r="K9" s="6">
        <v>0</v>
      </c>
    </row>
    <row r="10" spans="1:13" x14ac:dyDescent="0.25">
      <c r="A10" s="1">
        <v>6</v>
      </c>
      <c r="B10" s="1"/>
      <c r="C10" s="1">
        <v>0</v>
      </c>
      <c r="D10" s="1">
        <v>0</v>
      </c>
      <c r="E10" s="1" t="s">
        <v>12</v>
      </c>
      <c r="F10" s="1">
        <v>0</v>
      </c>
      <c r="G10" s="10">
        <v>0</v>
      </c>
      <c r="H10" s="4">
        <v>0</v>
      </c>
      <c r="I10" s="6">
        <v>0</v>
      </c>
      <c r="J10" s="6">
        <v>0</v>
      </c>
      <c r="K10" s="6">
        <v>0</v>
      </c>
    </row>
    <row r="11" spans="1:13" x14ac:dyDescent="0.25">
      <c r="A11" s="1">
        <v>7</v>
      </c>
      <c r="B11" s="1">
        <v>27</v>
      </c>
      <c r="C11" s="1">
        <v>47</v>
      </c>
      <c r="D11" s="1">
        <v>70</v>
      </c>
      <c r="E11" s="1" t="s">
        <v>11</v>
      </c>
      <c r="F11" s="1">
        <v>1</v>
      </c>
      <c r="G11" s="10">
        <v>0.05</v>
      </c>
      <c r="H11" s="4">
        <v>0.1</v>
      </c>
      <c r="I11" s="6">
        <f>Riscos!E8*2</f>
        <v>136018.37</v>
      </c>
      <c r="J11" s="6">
        <f>Riscos!F8*2</f>
        <v>272036.74</v>
      </c>
      <c r="K11" s="6">
        <f>Riscos!G8*2</f>
        <v>544073.48</v>
      </c>
    </row>
    <row r="12" spans="1:13" x14ac:dyDescent="0.25">
      <c r="A12" s="1">
        <v>8</v>
      </c>
      <c r="B12" s="1"/>
      <c r="C12" s="1">
        <v>0</v>
      </c>
      <c r="D12" s="1">
        <v>0</v>
      </c>
      <c r="E12" s="1" t="s">
        <v>10</v>
      </c>
      <c r="F12" s="1">
        <v>0</v>
      </c>
      <c r="G12" s="10">
        <v>0</v>
      </c>
      <c r="H12" s="4">
        <v>0</v>
      </c>
      <c r="I12" s="6">
        <v>0</v>
      </c>
      <c r="J12" s="6">
        <v>0</v>
      </c>
      <c r="K12" s="6">
        <v>0</v>
      </c>
    </row>
    <row r="13" spans="1:13" x14ac:dyDescent="0.25">
      <c r="A13" s="1">
        <v>9</v>
      </c>
      <c r="B13" s="1"/>
      <c r="C13" s="1">
        <v>0</v>
      </c>
      <c r="D13" s="1">
        <v>0</v>
      </c>
      <c r="E13" s="1" t="s">
        <v>9</v>
      </c>
      <c r="F13" s="1">
        <v>0</v>
      </c>
      <c r="G13" s="10">
        <v>0</v>
      </c>
      <c r="H13" s="4">
        <v>0</v>
      </c>
      <c r="I13" s="6">
        <v>0</v>
      </c>
      <c r="J13" s="6">
        <v>0</v>
      </c>
      <c r="K13" s="6">
        <v>0</v>
      </c>
    </row>
    <row r="14" spans="1:13" x14ac:dyDescent="0.25">
      <c r="A14" s="1">
        <v>10</v>
      </c>
      <c r="B14" s="1"/>
      <c r="C14" s="1">
        <v>0</v>
      </c>
      <c r="D14" s="1">
        <v>0</v>
      </c>
      <c r="E14" s="1" t="s">
        <v>8</v>
      </c>
      <c r="F14" s="1">
        <v>0</v>
      </c>
      <c r="G14" s="10">
        <v>0</v>
      </c>
      <c r="H14" s="4">
        <v>0</v>
      </c>
      <c r="I14" s="6">
        <v>0</v>
      </c>
      <c r="J14" s="6">
        <v>0</v>
      </c>
      <c r="K14" s="6">
        <v>0</v>
      </c>
    </row>
    <row r="15" spans="1:13" x14ac:dyDescent="0.25">
      <c r="I15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Riscos</vt:lpstr>
      <vt:lpstr>Fatores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Arklok</dc:creator>
  <cp:lastModifiedBy>Arklok</cp:lastModifiedBy>
  <dcterms:created xsi:type="dcterms:W3CDTF">2022-04-25T12:33:35Z</dcterms:created>
  <dcterms:modified xsi:type="dcterms:W3CDTF">2022-06-01T15:12:15Z</dcterms:modified>
</cp:coreProperties>
</file>